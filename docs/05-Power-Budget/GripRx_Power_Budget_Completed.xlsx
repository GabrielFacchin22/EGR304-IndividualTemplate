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689C9128-F717-478D-AD83-D59505E4CD2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Power Budg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40" i="1"/>
  <c r="G35" i="1"/>
  <c r="G31" i="1"/>
  <c r="G30" i="1"/>
  <c r="G29" i="1"/>
  <c r="G28" i="1"/>
  <c r="G24" i="1"/>
  <c r="G19" i="1"/>
  <c r="F53" i="1" s="1"/>
  <c r="G53" i="1" s="1"/>
  <c r="G17" i="1"/>
  <c r="F51" i="1" s="1"/>
  <c r="G51" i="1" s="1"/>
  <c r="G14" i="1"/>
  <c r="G13" i="1"/>
  <c r="G12" i="1"/>
  <c r="G11" i="1"/>
  <c r="G10" i="1"/>
  <c r="G9" i="1"/>
  <c r="G33" i="1" l="1"/>
  <c r="G36" i="1" s="1"/>
  <c r="F18" i="1"/>
  <c r="G18" i="1" s="1"/>
  <c r="G20" i="1" l="1"/>
  <c r="G22" i="1" s="1"/>
  <c r="F52" i="1"/>
  <c r="G52" i="1" s="1"/>
  <c r="G25" i="1" l="1"/>
  <c r="G5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000-000001000000}">
      <text>
        <r>
          <rPr>
            <sz val="12"/>
            <color rgb="FF000000"/>
            <rFont val="Calibri"/>
          </rPr>
          <t>For inductive loads (e.g., motors, solenoids) this is often called "stall current" on the data sheet</t>
        </r>
      </text>
    </comment>
  </commentList>
</comments>
</file>

<file path=xl/sharedStrings.xml><?xml version="1.0" encoding="utf-8"?>
<sst xmlns="http://schemas.openxmlformats.org/spreadsheetml/2006/main" count="172" uniqueCount="93">
  <si>
    <t>Team Number:</t>
  </si>
  <si>
    <t>Project Name:</t>
  </si>
  <si>
    <t>Team Member Names:</t>
  </si>
  <si>
    <t>Version:</t>
  </si>
  <si>
    <t>All Major Components</t>
  </si>
  <si>
    <t>Component Name</t>
  </si>
  <si>
    <t>Part Number</t>
  </si>
  <si>
    <t>Supply Voltage Range</t>
  </si>
  <si>
    <t>Qty.</t>
  </si>
  <si>
    <t>Total Current
(mA)</t>
  </si>
  <si>
    <t>Unit</t>
  </si>
  <si>
    <t>Absolute Maximum Current (mA)</t>
  </si>
  <si>
    <t xml:space="preserve">Subtotal </t>
  </si>
  <si>
    <t>mA</t>
  </si>
  <si>
    <t>Safety Margin</t>
  </si>
  <si>
    <t>Total Current Required on +12V Rail</t>
  </si>
  <si>
    <t>Supply
Voltage
Range</t>
  </si>
  <si>
    <t>Absolute
Maximum
Current (mA)</t>
  </si>
  <si>
    <t>Total
Current
(mA)</t>
  </si>
  <si>
    <t>Total Current Required on +5V Rail</t>
  </si>
  <si>
    <t>Regulator</t>
  </si>
  <si>
    <t>Output Voltage</t>
  </si>
  <si>
    <t>103</t>
  </si>
  <si>
    <t>GripRx Motor Board</t>
  </si>
  <si>
    <t>A. Major components — currents are planning assumptions, NOT absolute maximum ratings</t>
  </si>
  <si>
    <t>Assumed current per unit (mA)</t>
  </si>
  <si>
    <t>PIC18F57Q43 Curiosity Nano</t>
  </si>
  <si>
    <t>PIC18F57Q43</t>
  </si>
  <si>
    <t>5V</t>
  </si>
  <si>
    <t>DRV8871 + DC motor (combined branch)</t>
  </si>
  <si>
    <t>DRV8871DDAR + FIT0492-A</t>
  </si>
  <si>
    <t>9V assumed</t>
  </si>
  <si>
    <t>L7805 regulator ground current</t>
  </si>
  <si>
    <t>L7805ABV-DG</t>
  </si>
  <si>
    <t>9V input</t>
  </si>
  <si>
    <t>Power LED</t>
  </si>
  <si>
    <t>LED + 1kΩ</t>
  </si>
  <si>
    <t>Debug LED</t>
  </si>
  <si>
    <t>Pull-up/down resistor branches</t>
  </si>
  <si>
    <t>10kΩ resistors</t>
  </si>
  <si>
    <t>+9V Input Rail (estimated)</t>
  </si>
  <si>
    <t>DRV8871 + motor supply branch</t>
  </si>
  <si>
    <t>5V regulator input (5V load)</t>
  </si>
  <si>
    <t>9V → 5V</t>
  </si>
  <si>
    <t>Regulator ground current</t>
  </si>
  <si>
    <t>9V</t>
  </si>
  <si>
    <t>External adapter</t>
  </si>
  <si>
    <t>9V / 3A wall adapter</t>
  </si>
  <si>
    <t>Part number TBD</t>
  </si>
  <si>
    <t>9V DC</t>
  </si>
  <si>
    <t>Remaining adapter current after margin</t>
  </si>
  <si>
    <t>+5V Logic Rail (estimated)</t>
  </si>
  <si>
    <t>Two indicator LEDs</t>
  </si>
  <si>
    <t>LED + 1kΩ each</t>
  </si>
  <si>
    <t>Four 10kΩ resistor branches</t>
  </si>
  <si>
    <t>10kΩ pull-ups / pull-down</t>
  </si>
  <si>
    <t>+5V linear regulator</t>
  </si>
  <si>
    <t>9V in / 5V out</t>
  </si>
  <si>
    <t>Remaining 5V regulator capacity</t>
  </si>
  <si>
    <t>+3.3V Rail — NOT USED</t>
  </si>
  <si>
    <t>N/A — no 3.3V rail in this design</t>
  </si>
  <si>
    <t>Subtotal</t>
  </si>
  <si>
    <t>Required 3.3V current</t>
  </si>
  <si>
    <t>No regulator required</t>
  </si>
  <si>
    <t>External Power Source 1: 9V adapter</t>
  </si>
  <si>
    <t>Power Source Selection</t>
  </si>
  <si>
    <t>DC wall adapter</t>
  </si>
  <si>
    <t>Exact model TBD</t>
  </si>
  <si>
    <t>AC mains input</t>
  </si>
  <si>
    <t>Loads on External Power Source 1</t>
  </si>
  <si>
    <t>DRV8871 + motor branch</t>
  </si>
  <si>
    <t>5V rail via L7805</t>
  </si>
  <si>
    <t>L7805 ground current</t>
  </si>
  <si>
    <t>Remaining adapter current after 25% margin</t>
  </si>
  <si>
    <t>External Power Source 2 — NOT USED</t>
  </si>
  <si>
    <t>No second power supply</t>
  </si>
  <si>
    <t>N/A</t>
  </si>
  <si>
    <t>No secondary supply rails</t>
  </si>
  <si>
    <t>Remaining secondary source current</t>
  </si>
  <si>
    <t>Battery life — N/A (wall adapter)</t>
  </si>
  <si>
    <t>Notes / Assumptions</t>
  </si>
  <si>
    <t>PIC 50 mA assumes 5V, 16 MHz operation; includes estimated Nano/peripheral overhead; verify firmware and datasheet.</t>
  </si>
  <si>
    <t>Motor/DRV8871 680 mA is a planning proxy from motor's 12V rated-current figure; actual 9V operating current unknown.</t>
  </si>
  <si>
    <t>Motor branch includes DRV8871; do not add motor current twice. Startup/stall transients are not captured.</t>
  </si>
  <si>
    <t>LED currents 3 mA each are conservative approximations with 1kΩ resistors; four 10kΩ branches assume 0.5 mA each.</t>
  </si>
  <si>
    <t>L7805 ground current assumed 8 mA. Its input draws approximately the 5V output current plus ground current.</t>
  </si>
  <si>
    <t>9V adapter 3A capacity = 27W. Diode drop and regulator heating must be checked; 5V rail load ≈ 58mA.</t>
  </si>
  <si>
    <t>25% planning margin is not a guarantee of sufficient startup capacity or regulator thermal safety.</t>
  </si>
  <si>
    <t>Motor datasheet: FIT0492-A, 12V nominal, 0.17A no-load, 0.68A rated, 2.19A stall (12V values).</t>
  </si>
  <si>
    <t>Current regulation threshold of DRV8871 with 64.9kΩ is ≈0.99A nominal; not a supply-current ceiling.</t>
  </si>
  <si>
    <t>GripRx Motor Board — Power Budget</t>
  </si>
  <si>
    <t>Gabriel Toneser Facchin / Team 103</t>
  </si>
  <si>
    <t xml:space="preserve">v1.0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</si>
</sst>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b/>
      <sz val="2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sz val="12"/>
      <name val="Calibri"/>
    </font>
    <font>
      <b/>
      <i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EEECE1"/>
      </patternFill>
    </fill>
    <fill>
      <patternFill patternType="solid">
        <fgColor rgb="FFFFFFFF"/>
      </patternFill>
    </fill>
    <fill>
      <patternFill patternType="solid">
        <fgColor theme="8" tint="0.59996337778862885"/>
        <bgColor indexed="65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2" fillId="0" borderId="2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4" xfId="0" applyFont="1" applyBorder="1" applyAlignment="1">
      <alignment horizontal="right"/>
    </xf>
    <xf numFmtId="0" fontId="4" fillId="0" borderId="4" xfId="0" applyFont="1" applyBorder="1"/>
    <xf numFmtId="0" fontId="3" fillId="0" borderId="4" xfId="0" applyFont="1" applyBorder="1"/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/>
    </xf>
    <xf numFmtId="0" fontId="2" fillId="0" borderId="4" xfId="0" applyFont="1" applyBorder="1"/>
    <xf numFmtId="0" fontId="3" fillId="0" borderId="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2" fillId="0" borderId="14" xfId="0" applyFont="1" applyBorder="1"/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0" fontId="2" fillId="0" borderId="17" xfId="0" applyFont="1" applyBorder="1"/>
    <xf numFmtId="0" fontId="2" fillId="0" borderId="1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1" xfId="0" applyFont="1" applyBorder="1"/>
    <xf numFmtId="0" fontId="2" fillId="0" borderId="21" xfId="0" applyFont="1" applyBorder="1" applyAlignment="1">
      <alignment horizontal="center"/>
    </xf>
    <xf numFmtId="9" fontId="2" fillId="0" borderId="21" xfId="0" applyNumberFormat="1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49" fontId="5" fillId="0" borderId="4" xfId="0" applyNumberFormat="1" applyFont="1" applyBorder="1" applyAlignment="1">
      <alignment horizontal="right"/>
    </xf>
    <xf numFmtId="0" fontId="2" fillId="0" borderId="6" xfId="0" applyFont="1" applyBorder="1" applyAlignment="1">
      <alignment horizontal="left"/>
    </xf>
    <xf numFmtId="0" fontId="5" fillId="0" borderId="21" xfId="0" applyFont="1" applyBorder="1" applyAlignment="1">
      <alignment horizontal="left" wrapText="1"/>
    </xf>
    <xf numFmtId="0" fontId="2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5" fillId="3" borderId="10" xfId="0" applyFont="1" applyFill="1" applyBorder="1" applyAlignment="1">
      <alignment vertical="center"/>
    </xf>
    <xf numFmtId="0" fontId="2" fillId="0" borderId="8" xfId="0" applyFont="1" applyBorder="1" applyAlignment="1">
      <alignment horizontal="left"/>
    </xf>
    <xf numFmtId="0" fontId="5" fillId="3" borderId="9" xfId="0" applyFont="1" applyFill="1" applyBorder="1" applyAlignment="1">
      <alignment vertical="center"/>
    </xf>
    <xf numFmtId="0" fontId="5" fillId="3" borderId="23" xfId="0" applyFont="1" applyFill="1" applyBorder="1" applyAlignment="1">
      <alignment vertical="center"/>
    </xf>
    <xf numFmtId="0" fontId="3" fillId="3" borderId="24" xfId="0" applyFon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left"/>
    </xf>
    <xf numFmtId="0" fontId="2" fillId="0" borderId="27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3" xfId="0" applyFont="1" applyBorder="1"/>
    <xf numFmtId="0" fontId="2" fillId="0" borderId="41" xfId="0" applyFont="1" applyBorder="1"/>
    <xf numFmtId="0" fontId="2" fillId="0" borderId="22" xfId="0" applyFont="1" applyBorder="1"/>
    <xf numFmtId="0" fontId="5" fillId="0" borderId="4" xfId="0" applyFont="1" applyBorder="1" applyAlignment="1">
      <alignment horizontal="left" vertical="center"/>
    </xf>
    <xf numFmtId="49" fontId="5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2" fillId="2" borderId="45" xfId="0" applyFont="1" applyFill="1" applyBorder="1" applyAlignment="1">
      <alignment horizontal="center"/>
    </xf>
    <xf numFmtId="0" fontId="2" fillId="2" borderId="49" xfId="0" applyFont="1" applyFill="1" applyBorder="1" applyAlignment="1">
      <alignment horizontal="center"/>
    </xf>
    <xf numFmtId="0" fontId="2" fillId="0" borderId="31" xfId="0" applyFont="1" applyBorder="1"/>
    <xf numFmtId="0" fontId="5" fillId="2" borderId="15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2" fillId="0" borderId="28" xfId="0" applyFont="1" applyBorder="1"/>
    <xf numFmtId="0" fontId="2" fillId="0" borderId="30" xfId="0" applyFont="1" applyBorder="1"/>
    <xf numFmtId="0" fontId="2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52" xfId="0" applyFont="1" applyBorder="1" applyAlignment="1">
      <alignment horizontal="center"/>
    </xf>
    <xf numFmtId="0" fontId="3" fillId="3" borderId="17" xfId="0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21" xfId="0" applyFont="1" applyBorder="1" applyAlignment="1">
      <alignment vertical="center" wrapText="1"/>
    </xf>
    <xf numFmtId="0" fontId="2" fillId="0" borderId="21" xfId="0" applyFont="1" applyBorder="1" applyAlignment="1">
      <alignment vertical="center"/>
    </xf>
    <xf numFmtId="0" fontId="2" fillId="0" borderId="2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0" borderId="21" xfId="0" applyFont="1" applyBorder="1" applyAlignment="1">
      <alignment horizontal="left" vertical="center"/>
    </xf>
    <xf numFmtId="0" fontId="0" fillId="0" borderId="0" xfId="0" applyAlignment="1">
      <alignment wrapText="1"/>
    </xf>
    <xf numFmtId="2" fontId="0" fillId="0" borderId="1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2" fontId="3" fillId="3" borderId="10" xfId="0" applyNumberFormat="1" applyFont="1" applyFill="1" applyBorder="1" applyAlignment="1">
      <alignment horizontal="center" vertical="center" wrapText="1"/>
    </xf>
    <xf numFmtId="2" fontId="0" fillId="0" borderId="8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0" xfId="0" applyNumberFormat="1" applyAlignment="1">
      <alignment horizontal="center" vertical="center"/>
    </xf>
    <xf numFmtId="2" fontId="0" fillId="0" borderId="11" xfId="0" applyNumberFormat="1" applyBorder="1" applyAlignment="1">
      <alignment horizontal="center"/>
    </xf>
    <xf numFmtId="2" fontId="0" fillId="0" borderId="21" xfId="0" applyNumberFormat="1" applyBorder="1" applyAlignment="1">
      <alignment horizontal="center" vertical="center"/>
    </xf>
    <xf numFmtId="2" fontId="5" fillId="0" borderId="44" xfId="0" applyNumberFormat="1" applyFont="1" applyBorder="1" applyAlignment="1">
      <alignment horizontal="center"/>
    </xf>
    <xf numFmtId="2" fontId="3" fillId="3" borderId="24" xfId="0" applyNumberFormat="1" applyFont="1" applyFill="1" applyBorder="1" applyAlignment="1">
      <alignment horizontal="center" vertical="center" wrapText="1"/>
    </xf>
    <xf numFmtId="2" fontId="0" fillId="0" borderId="33" xfId="0" applyNumberFormat="1" applyBorder="1" applyAlignment="1">
      <alignment horizontal="center"/>
    </xf>
    <xf numFmtId="9" fontId="0" fillId="0" borderId="21" xfId="0" applyNumberFormat="1" applyBorder="1" applyAlignment="1">
      <alignment horizontal="center"/>
    </xf>
    <xf numFmtId="0" fontId="5" fillId="0" borderId="35" xfId="0" applyFont="1" applyBorder="1" applyAlignment="1">
      <alignment horizontal="right"/>
    </xf>
    <xf numFmtId="0" fontId="5" fillId="0" borderId="36" xfId="0" applyFont="1" applyBorder="1" applyAlignment="1">
      <alignment horizontal="right"/>
    </xf>
    <xf numFmtId="0" fontId="5" fillId="0" borderId="37" xfId="0" applyFont="1" applyBorder="1" applyAlignment="1">
      <alignment horizontal="right"/>
    </xf>
    <xf numFmtId="0" fontId="5" fillId="0" borderId="38" xfId="0" applyFont="1" applyBorder="1" applyAlignment="1">
      <alignment horizontal="right"/>
    </xf>
    <xf numFmtId="0" fontId="5" fillId="0" borderId="39" xfId="0" applyFont="1" applyBorder="1" applyAlignment="1">
      <alignment horizontal="right"/>
    </xf>
    <xf numFmtId="0" fontId="5" fillId="0" borderId="40" xfId="0" applyFont="1" applyBorder="1" applyAlignment="1">
      <alignment horizontal="right"/>
    </xf>
    <xf numFmtId="49" fontId="5" fillId="0" borderId="42" xfId="0" applyNumberFormat="1" applyFont="1" applyBorder="1" applyAlignment="1">
      <alignment horizontal="right"/>
    </xf>
    <xf numFmtId="49" fontId="5" fillId="0" borderId="13" xfId="0" applyNumberFormat="1" applyFont="1" applyBorder="1" applyAlignment="1">
      <alignment horizontal="right"/>
    </xf>
    <xf numFmtId="49" fontId="5" fillId="0" borderId="43" xfId="0" applyNumberFormat="1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0" fillId="4" borderId="30" xfId="0" applyFill="1" applyBorder="1" applyAlignment="1">
      <alignment horizontal="left" wrapText="1"/>
    </xf>
    <xf numFmtId="0" fontId="2" fillId="0" borderId="31" xfId="0" applyFont="1" applyBorder="1"/>
    <xf numFmtId="0" fontId="2" fillId="0" borderId="50" xfId="0" applyFont="1" applyBorder="1"/>
    <xf numFmtId="0" fontId="3" fillId="0" borderId="17" xfId="0" applyFont="1" applyBorder="1" applyAlignment="1">
      <alignment horizontal="left" vertical="center" wrapText="1"/>
    </xf>
    <xf numFmtId="0" fontId="4" fillId="0" borderId="17" xfId="0" applyFont="1" applyBorder="1"/>
    <xf numFmtId="0" fontId="4" fillId="0" borderId="28" xfId="0" applyFont="1" applyBorder="1"/>
    <xf numFmtId="49" fontId="5" fillId="0" borderId="46" xfId="0" applyNumberFormat="1" applyFont="1" applyBorder="1" applyAlignment="1">
      <alignment horizontal="right"/>
    </xf>
    <xf numFmtId="0" fontId="2" fillId="0" borderId="47" xfId="0" applyFont="1" applyBorder="1"/>
    <xf numFmtId="0" fontId="5" fillId="2" borderId="14" xfId="0" applyFont="1" applyFill="1" applyBorder="1" applyAlignment="1">
      <alignment wrapText="1"/>
    </xf>
    <xf numFmtId="0" fontId="4" fillId="0" borderId="15" xfId="0" applyFont="1" applyBorder="1"/>
    <xf numFmtId="0" fontId="5" fillId="2" borderId="48" xfId="0" applyFont="1" applyFill="1" applyBorder="1"/>
    <xf numFmtId="0" fontId="2" fillId="0" borderId="45" xfId="0" applyFont="1" applyBorder="1"/>
    <xf numFmtId="49" fontId="5" fillId="0" borderId="30" xfId="0" applyNumberFormat="1" applyFont="1" applyBorder="1" applyAlignment="1">
      <alignment horizontal="right"/>
    </xf>
    <xf numFmtId="49" fontId="5" fillId="0" borderId="31" xfId="0" applyNumberFormat="1" applyFont="1" applyBorder="1" applyAlignment="1">
      <alignment horizontal="right"/>
    </xf>
    <xf numFmtId="49" fontId="5" fillId="0" borderId="32" xfId="0" applyNumberFormat="1" applyFont="1" applyBorder="1" applyAlignment="1">
      <alignment horizontal="right"/>
    </xf>
    <xf numFmtId="49" fontId="5" fillId="0" borderId="8" xfId="0" applyNumberFormat="1" applyFont="1" applyBorder="1" applyAlignment="1">
      <alignment horizontal="right"/>
    </xf>
    <xf numFmtId="0" fontId="4" fillId="0" borderId="8" xfId="0" applyFont="1" applyBorder="1"/>
    <xf numFmtId="0" fontId="1" fillId="5" borderId="0" xfId="0" applyFont="1" applyFill="1" applyAlignment="1">
      <alignment horizontal="center"/>
    </xf>
    <xf numFmtId="0" fontId="2" fillId="5" borderId="0" xfId="0" applyFont="1" applyFill="1"/>
    <xf numFmtId="0" fontId="5" fillId="2" borderId="1" xfId="0" applyFont="1" applyFill="1" applyBorder="1" applyAlignment="1">
      <alignment wrapText="1"/>
    </xf>
    <xf numFmtId="0" fontId="4" fillId="0" borderId="5" xfId="0" applyFont="1" applyBorder="1"/>
    <xf numFmtId="0" fontId="4" fillId="0" borderId="7" xfId="0" applyFont="1" applyBorder="1"/>
  </cellXfs>
  <cellStyles count="1">
    <cellStyle name="Normal" xfId="0" builtinId="0"/>
  </cellStyles>
  <dxfs count="1">
    <dxf>
      <font>
        <color rgb="FF000000"/>
      </font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476250</xdr:colOff>
      <xdr:row>37</xdr:row>
      <xdr:rowOff>260350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74D0FDA9-3C71-7EFD-D238-5B74F9AC3037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topLeftCell="A54" workbookViewId="0">
      <selection activeCell="A70" sqref="A70:XFD70"/>
    </sheetView>
  </sheetViews>
  <sheetFormatPr defaultColWidth="13.5" defaultRowHeight="15.5" x14ac:dyDescent="0.35"/>
  <cols>
    <col min="1" max="1" width="38.6640625" style="1" customWidth="1"/>
    <col min="2" max="2" width="34.4140625" style="1" bestFit="1" customWidth="1"/>
    <col min="3" max="3" width="23.25" style="1" bestFit="1" customWidth="1"/>
    <col min="4" max="4" width="11.5" style="1" customWidth="1"/>
    <col min="5" max="5" width="7.25" style="1" customWidth="1"/>
    <col min="6" max="6" width="12.33203125" style="5" customWidth="1"/>
    <col min="7" max="7" width="11.33203125" style="5" customWidth="1"/>
    <col min="8" max="8" width="9" style="5" customWidth="1"/>
    <col min="9" max="16384" width="13.5" style="1"/>
  </cols>
  <sheetData>
    <row r="1" spans="1:8" ht="31" x14ac:dyDescent="0.7">
      <c r="A1" s="141" t="s">
        <v>90</v>
      </c>
      <c r="B1" s="142"/>
      <c r="C1" s="142"/>
      <c r="D1" s="142"/>
      <c r="E1" s="142"/>
      <c r="F1" s="142"/>
      <c r="G1" s="142"/>
      <c r="H1" s="142"/>
    </row>
    <row r="2" spans="1:8" x14ac:dyDescent="0.35">
      <c r="A2" s="12" t="s">
        <v>0</v>
      </c>
      <c r="B2" s="13" t="s">
        <v>22</v>
      </c>
      <c r="D2" s="2"/>
      <c r="E2" s="2"/>
    </row>
    <row r="3" spans="1:8" x14ac:dyDescent="0.35">
      <c r="A3" s="12" t="s">
        <v>1</v>
      </c>
      <c r="B3" s="14" t="s">
        <v>23</v>
      </c>
      <c r="C3" s="3"/>
      <c r="D3" s="2"/>
      <c r="E3" s="2"/>
      <c r="F3" s="2"/>
      <c r="G3" s="2"/>
      <c r="H3" s="2"/>
    </row>
    <row r="4" spans="1:8" x14ac:dyDescent="0.35">
      <c r="A4" s="12" t="s">
        <v>2</v>
      </c>
      <c r="B4" s="14" t="s">
        <v>91</v>
      </c>
      <c r="C4" s="3"/>
      <c r="D4" s="2"/>
      <c r="E4" s="2"/>
      <c r="F4" s="2"/>
      <c r="G4" s="2"/>
      <c r="H4" s="2"/>
    </row>
    <row r="5" spans="1:8" x14ac:dyDescent="0.35">
      <c r="A5" s="12" t="s">
        <v>3</v>
      </c>
      <c r="B5" s="14" t="s">
        <v>92</v>
      </c>
      <c r="C5" s="3"/>
      <c r="D5" s="2"/>
      <c r="E5" s="2"/>
      <c r="F5" s="2"/>
      <c r="G5" s="2"/>
      <c r="H5" s="2"/>
    </row>
    <row r="6" spans="1:8" ht="10" customHeight="1" x14ac:dyDescent="0.35">
      <c r="A6" s="3"/>
      <c r="B6" s="3"/>
      <c r="C6" s="3"/>
      <c r="D6" s="2"/>
      <c r="E6" s="2"/>
      <c r="F6" s="2"/>
      <c r="G6" s="2"/>
      <c r="H6" s="2"/>
    </row>
    <row r="7" spans="1:8" ht="10" hidden="1" customHeight="1" x14ac:dyDescent="0.35">
      <c r="A7" s="143" t="s">
        <v>24</v>
      </c>
      <c r="B7" s="144"/>
      <c r="C7" s="144"/>
      <c r="D7" s="144"/>
      <c r="E7" s="144"/>
      <c r="F7" s="144"/>
      <c r="G7" s="144"/>
      <c r="H7" s="145"/>
    </row>
    <row r="8" spans="1:8" ht="46.5" x14ac:dyDescent="0.35">
      <c r="A8" s="20" t="s">
        <v>4</v>
      </c>
      <c r="B8" s="21" t="s">
        <v>5</v>
      </c>
      <c r="C8" s="21" t="s">
        <v>6</v>
      </c>
      <c r="D8" s="22" t="s">
        <v>7</v>
      </c>
      <c r="E8" s="21" t="s">
        <v>8</v>
      </c>
      <c r="F8" s="22" t="s">
        <v>25</v>
      </c>
      <c r="G8" s="22" t="s">
        <v>9</v>
      </c>
      <c r="H8" s="21" t="s">
        <v>10</v>
      </c>
    </row>
    <row r="9" spans="1:8" x14ac:dyDescent="0.35">
      <c r="A9" s="4"/>
      <c r="B9" s="27" t="s">
        <v>26</v>
      </c>
      <c r="C9" s="28" t="s">
        <v>27</v>
      </c>
      <c r="D9" s="29" t="s">
        <v>28</v>
      </c>
      <c r="E9" s="29">
        <v>1</v>
      </c>
      <c r="F9" s="29">
        <v>50</v>
      </c>
      <c r="G9" s="96">
        <f t="shared" ref="G9:G13" si="0">E9*F9</f>
        <v>50</v>
      </c>
      <c r="H9" s="37" t="s">
        <v>13</v>
      </c>
    </row>
    <row r="10" spans="1:8" x14ac:dyDescent="0.35">
      <c r="A10" s="4"/>
      <c r="B10" s="30" t="s">
        <v>29</v>
      </c>
      <c r="C10" s="15" t="s">
        <v>30</v>
      </c>
      <c r="D10" s="16" t="s">
        <v>31</v>
      </c>
      <c r="E10" s="16">
        <v>1</v>
      </c>
      <c r="F10" s="16">
        <v>680</v>
      </c>
      <c r="G10" s="97">
        <f t="shared" si="0"/>
        <v>680</v>
      </c>
      <c r="H10" s="38" t="s">
        <v>13</v>
      </c>
    </row>
    <row r="11" spans="1:8" x14ac:dyDescent="0.35">
      <c r="A11" s="4"/>
      <c r="B11" s="30" t="s">
        <v>32</v>
      </c>
      <c r="C11" s="15" t="s">
        <v>33</v>
      </c>
      <c r="D11" s="16" t="s">
        <v>34</v>
      </c>
      <c r="E11" s="16">
        <v>1</v>
      </c>
      <c r="F11" s="16">
        <v>8</v>
      </c>
      <c r="G11" s="97">
        <f t="shared" si="0"/>
        <v>8</v>
      </c>
      <c r="H11" s="38" t="s">
        <v>13</v>
      </c>
    </row>
    <row r="12" spans="1:8" x14ac:dyDescent="0.35">
      <c r="A12" s="4"/>
      <c r="B12" s="30" t="s">
        <v>35</v>
      </c>
      <c r="C12" s="15" t="s">
        <v>36</v>
      </c>
      <c r="D12" s="17" t="s">
        <v>28</v>
      </c>
      <c r="E12" s="16">
        <v>1</v>
      </c>
      <c r="F12" s="16">
        <v>3</v>
      </c>
      <c r="G12" s="97">
        <f t="shared" si="0"/>
        <v>3</v>
      </c>
      <c r="H12" s="38" t="s">
        <v>13</v>
      </c>
    </row>
    <row r="13" spans="1:8" x14ac:dyDescent="0.35">
      <c r="A13" s="4"/>
      <c r="B13" s="30" t="s">
        <v>37</v>
      </c>
      <c r="C13" s="15" t="s">
        <v>36</v>
      </c>
      <c r="D13" s="16" t="s">
        <v>28</v>
      </c>
      <c r="E13" s="16">
        <v>1</v>
      </c>
      <c r="F13" s="16">
        <v>3</v>
      </c>
      <c r="G13" s="97">
        <f t="shared" si="0"/>
        <v>3</v>
      </c>
      <c r="H13" s="38" t="s">
        <v>13</v>
      </c>
    </row>
    <row r="14" spans="1:8" x14ac:dyDescent="0.35">
      <c r="A14" s="4"/>
      <c r="B14" s="31" t="s">
        <v>38</v>
      </c>
      <c r="C14" s="32" t="s">
        <v>39</v>
      </c>
      <c r="D14" s="33" t="s">
        <v>28</v>
      </c>
      <c r="E14" s="33">
        <v>4</v>
      </c>
      <c r="F14" s="33">
        <v>0.5</v>
      </c>
      <c r="G14" s="98">
        <f>E14*F14</f>
        <v>2</v>
      </c>
      <c r="H14" s="39" t="s">
        <v>13</v>
      </c>
    </row>
    <row r="15" spans="1:8" ht="10" customHeight="1" x14ac:dyDescent="0.35">
      <c r="A15" s="6"/>
      <c r="B15" s="14"/>
      <c r="C15" s="14"/>
      <c r="D15" s="25"/>
      <c r="E15" s="25"/>
      <c r="F15" s="25"/>
      <c r="G15" s="99"/>
      <c r="H15" s="26"/>
    </row>
    <row r="16" spans="1:8" ht="46.5" x14ac:dyDescent="0.35">
      <c r="A16" s="53" t="s">
        <v>40</v>
      </c>
      <c r="B16" s="21" t="s">
        <v>5</v>
      </c>
      <c r="C16" s="21" t="s">
        <v>6</v>
      </c>
      <c r="D16" s="22" t="s">
        <v>7</v>
      </c>
      <c r="E16" s="21" t="s">
        <v>8</v>
      </c>
      <c r="F16" s="22" t="s">
        <v>11</v>
      </c>
      <c r="G16" s="100" t="s">
        <v>9</v>
      </c>
      <c r="H16" s="21" t="s">
        <v>10</v>
      </c>
    </row>
    <row r="17" spans="1:8" x14ac:dyDescent="0.35">
      <c r="A17" s="4"/>
      <c r="B17" s="18" t="s">
        <v>41</v>
      </c>
      <c r="C17" s="18" t="s">
        <v>30</v>
      </c>
      <c r="D17" s="19" t="s">
        <v>31</v>
      </c>
      <c r="E17" s="19">
        <v>1</v>
      </c>
      <c r="F17" s="19">
        <v>680</v>
      </c>
      <c r="G17" s="101">
        <f t="shared" ref="G17:G19" si="1">E17*F17</f>
        <v>680</v>
      </c>
      <c r="H17" s="19" t="s">
        <v>13</v>
      </c>
    </row>
    <row r="18" spans="1:8" x14ac:dyDescent="0.35">
      <c r="A18" s="4"/>
      <c r="B18" s="15" t="s">
        <v>42</v>
      </c>
      <c r="C18" s="15" t="s">
        <v>33</v>
      </c>
      <c r="D18" s="16" t="s">
        <v>43</v>
      </c>
      <c r="E18" s="16">
        <v>1</v>
      </c>
      <c r="F18" s="16">
        <f>G31</f>
        <v>58</v>
      </c>
      <c r="G18" s="97">
        <f t="shared" si="1"/>
        <v>58</v>
      </c>
      <c r="H18" s="16" t="s">
        <v>13</v>
      </c>
    </row>
    <row r="19" spans="1:8" x14ac:dyDescent="0.35">
      <c r="A19" s="4"/>
      <c r="B19" s="40" t="s">
        <v>44</v>
      </c>
      <c r="C19" s="40" t="s">
        <v>33</v>
      </c>
      <c r="D19" s="41" t="s">
        <v>45</v>
      </c>
      <c r="E19" s="41">
        <v>1</v>
      </c>
      <c r="F19" s="41">
        <v>8</v>
      </c>
      <c r="G19" s="102">
        <f t="shared" si="1"/>
        <v>8</v>
      </c>
      <c r="H19" s="41" t="s">
        <v>13</v>
      </c>
    </row>
    <row r="20" spans="1:8" x14ac:dyDescent="0.35">
      <c r="A20" s="4"/>
      <c r="B20" s="24"/>
      <c r="C20" s="24"/>
      <c r="D20" s="122" t="s">
        <v>12</v>
      </c>
      <c r="E20" s="122"/>
      <c r="F20" s="122"/>
      <c r="G20" s="101">
        <f>SUM(G17:G19)</f>
        <v>746</v>
      </c>
      <c r="H20" s="19" t="s">
        <v>13</v>
      </c>
    </row>
    <row r="21" spans="1:8" x14ac:dyDescent="0.35">
      <c r="A21" s="4"/>
      <c r="B21" s="24"/>
      <c r="C21" s="24"/>
      <c r="D21" s="123" t="s">
        <v>14</v>
      </c>
      <c r="E21" s="123"/>
      <c r="F21" s="123"/>
      <c r="G21" s="112">
        <v>0.25</v>
      </c>
      <c r="H21" s="42"/>
    </row>
    <row r="22" spans="1:8" x14ac:dyDescent="0.35">
      <c r="A22" s="7"/>
      <c r="B22" s="24"/>
      <c r="C22" s="24"/>
      <c r="D22" s="122" t="s">
        <v>15</v>
      </c>
      <c r="E22" s="122"/>
      <c r="F22" s="122"/>
      <c r="G22" s="101">
        <f>G20*(1+G21)</f>
        <v>932.5</v>
      </c>
      <c r="H22" s="19" t="s">
        <v>13</v>
      </c>
    </row>
    <row r="23" spans="1:8" x14ac:dyDescent="0.35">
      <c r="A23" s="8"/>
      <c r="B23" s="9"/>
      <c r="C23" s="9"/>
      <c r="D23" s="5"/>
      <c r="E23" s="5"/>
      <c r="G23" s="103"/>
      <c r="H23" s="23"/>
    </row>
    <row r="24" spans="1:8" x14ac:dyDescent="0.35">
      <c r="A24" s="48" t="s">
        <v>46</v>
      </c>
      <c r="B24" s="49" t="s">
        <v>47</v>
      </c>
      <c r="C24" s="49" t="s">
        <v>48</v>
      </c>
      <c r="D24" s="41" t="s">
        <v>49</v>
      </c>
      <c r="E24" s="41">
        <v>1</v>
      </c>
      <c r="F24" s="41">
        <v>3000</v>
      </c>
      <c r="G24" s="102">
        <f>E24*F24</f>
        <v>3000</v>
      </c>
      <c r="H24" s="41" t="s">
        <v>13</v>
      </c>
    </row>
    <row r="25" spans="1:8" x14ac:dyDescent="0.35">
      <c r="A25" s="45"/>
      <c r="B25" s="139" t="s">
        <v>50</v>
      </c>
      <c r="C25" s="140"/>
      <c r="D25" s="140"/>
      <c r="E25" s="140"/>
      <c r="F25" s="140"/>
      <c r="G25" s="101">
        <f>G24-G22</f>
        <v>2067.5</v>
      </c>
      <c r="H25" s="19" t="s">
        <v>13</v>
      </c>
    </row>
    <row r="26" spans="1:8" x14ac:dyDescent="0.35">
      <c r="A26" s="45"/>
      <c r="B26" s="46"/>
      <c r="C26" s="13"/>
      <c r="D26" s="13"/>
      <c r="E26" s="13"/>
      <c r="F26" s="13"/>
      <c r="G26" s="104"/>
      <c r="H26" s="44"/>
    </row>
    <row r="27" spans="1:8" ht="46.5" x14ac:dyDescent="0.35">
      <c r="A27" s="51" t="s">
        <v>51</v>
      </c>
      <c r="B27" s="21" t="s">
        <v>5</v>
      </c>
      <c r="C27" s="21" t="s">
        <v>6</v>
      </c>
      <c r="D27" s="22" t="s">
        <v>16</v>
      </c>
      <c r="E27" s="21" t="s">
        <v>8</v>
      </c>
      <c r="F27" s="22" t="s">
        <v>17</v>
      </c>
      <c r="G27" s="100" t="s">
        <v>18</v>
      </c>
      <c r="H27" s="21" t="s">
        <v>10</v>
      </c>
    </row>
    <row r="28" spans="1:8" x14ac:dyDescent="0.35">
      <c r="A28" s="4"/>
      <c r="B28" s="18" t="s">
        <v>26</v>
      </c>
      <c r="C28" s="18" t="s">
        <v>27</v>
      </c>
      <c r="D28" s="19" t="s">
        <v>28</v>
      </c>
      <c r="E28" s="19">
        <v>1</v>
      </c>
      <c r="F28" s="19">
        <v>50</v>
      </c>
      <c r="G28" s="101">
        <f t="shared" ref="G28:G30" si="2">E28*F28</f>
        <v>50</v>
      </c>
      <c r="H28" s="19" t="s">
        <v>13</v>
      </c>
    </row>
    <row r="29" spans="1:8" x14ac:dyDescent="0.35">
      <c r="A29" s="4"/>
      <c r="B29" s="15" t="s">
        <v>52</v>
      </c>
      <c r="C29" s="15" t="s">
        <v>53</v>
      </c>
      <c r="D29" s="16" t="s">
        <v>28</v>
      </c>
      <c r="E29" s="16">
        <v>2</v>
      </c>
      <c r="F29" s="16">
        <v>3</v>
      </c>
      <c r="G29" s="97">
        <f t="shared" si="2"/>
        <v>6</v>
      </c>
      <c r="H29" s="16" t="s">
        <v>13</v>
      </c>
    </row>
    <row r="30" spans="1:8" x14ac:dyDescent="0.35">
      <c r="A30" s="4"/>
      <c r="B30" s="40" t="s">
        <v>54</v>
      </c>
      <c r="C30" s="40" t="s">
        <v>55</v>
      </c>
      <c r="D30" s="41" t="s">
        <v>28</v>
      </c>
      <c r="E30" s="41">
        <v>4</v>
      </c>
      <c r="F30" s="41">
        <v>0.5</v>
      </c>
      <c r="G30" s="102">
        <f t="shared" si="2"/>
        <v>2</v>
      </c>
      <c r="H30" s="41" t="s">
        <v>13</v>
      </c>
    </row>
    <row r="31" spans="1:8" x14ac:dyDescent="0.35">
      <c r="A31" s="4"/>
      <c r="B31" s="24"/>
      <c r="C31" s="24"/>
      <c r="D31" s="122" t="s">
        <v>12</v>
      </c>
      <c r="E31" s="122"/>
      <c r="F31" s="122"/>
      <c r="G31" s="101">
        <f>SUM(G28:G30)</f>
        <v>58</v>
      </c>
      <c r="H31" s="19" t="s">
        <v>13</v>
      </c>
    </row>
    <row r="32" spans="1:8" x14ac:dyDescent="0.35">
      <c r="A32" s="4"/>
      <c r="D32" s="123" t="s">
        <v>14</v>
      </c>
      <c r="E32" s="123"/>
      <c r="F32" s="123"/>
      <c r="G32" s="112">
        <v>0.25</v>
      </c>
      <c r="H32" s="42"/>
    </row>
    <row r="33" spans="1:8" x14ac:dyDescent="0.35">
      <c r="A33" s="7"/>
      <c r="D33" s="122" t="s">
        <v>19</v>
      </c>
      <c r="E33" s="122"/>
      <c r="F33" s="122"/>
      <c r="G33" s="101">
        <f>G31*(1+G32)</f>
        <v>72.5</v>
      </c>
      <c r="H33" s="19" t="s">
        <v>13</v>
      </c>
    </row>
    <row r="34" spans="1:8" x14ac:dyDescent="0.35">
      <c r="A34" s="8"/>
      <c r="B34" s="43"/>
      <c r="C34" s="43"/>
      <c r="D34" s="44"/>
      <c r="E34" s="44"/>
      <c r="F34" s="44"/>
      <c r="G34" s="105"/>
      <c r="H34" s="11"/>
    </row>
    <row r="35" spans="1:8" x14ac:dyDescent="0.35">
      <c r="A35" s="50" t="s">
        <v>20</v>
      </c>
      <c r="B35" s="49" t="s">
        <v>56</v>
      </c>
      <c r="C35" s="49" t="s">
        <v>33</v>
      </c>
      <c r="D35" s="41" t="s">
        <v>57</v>
      </c>
      <c r="E35" s="41">
        <v>1</v>
      </c>
      <c r="F35" s="41">
        <v>1000</v>
      </c>
      <c r="G35" s="102">
        <f>E35*F35</f>
        <v>1000</v>
      </c>
      <c r="H35" s="41" t="s">
        <v>13</v>
      </c>
    </row>
    <row r="36" spans="1:8" x14ac:dyDescent="0.35">
      <c r="A36" s="45"/>
      <c r="B36" s="139" t="s">
        <v>58</v>
      </c>
      <c r="C36" s="139"/>
      <c r="D36" s="139"/>
      <c r="E36" s="139"/>
      <c r="F36" s="139"/>
      <c r="G36" s="101">
        <f>G35-G33</f>
        <v>927.5</v>
      </c>
      <c r="H36" s="19" t="s">
        <v>13</v>
      </c>
    </row>
    <row r="37" spans="1:8" x14ac:dyDescent="0.35">
      <c r="A37" s="67"/>
      <c r="B37" s="68"/>
      <c r="C37" s="69"/>
      <c r="D37" s="69"/>
      <c r="E37" s="69"/>
      <c r="F37" s="69"/>
      <c r="G37" s="106"/>
      <c r="H37" s="70"/>
    </row>
    <row r="38" spans="1:8" ht="46.5" x14ac:dyDescent="0.35">
      <c r="A38" s="51" t="s">
        <v>59</v>
      </c>
      <c r="B38" s="21" t="s">
        <v>5</v>
      </c>
      <c r="C38" s="21" t="s">
        <v>6</v>
      </c>
      <c r="D38" s="22" t="s">
        <v>16</v>
      </c>
      <c r="E38" s="21" t="s">
        <v>8</v>
      </c>
      <c r="F38" s="22" t="s">
        <v>17</v>
      </c>
      <c r="G38" s="100" t="s">
        <v>18</v>
      </c>
      <c r="H38" s="21" t="s">
        <v>10</v>
      </c>
    </row>
    <row r="39" spans="1:8" x14ac:dyDescent="0.35">
      <c r="A39" s="4"/>
      <c r="B39" s="18" t="s">
        <v>60</v>
      </c>
      <c r="C39" s="18"/>
      <c r="D39" s="19"/>
      <c r="E39" s="19"/>
      <c r="F39" s="19"/>
      <c r="G39" s="101"/>
      <c r="H39" s="19"/>
    </row>
    <row r="40" spans="1:8" x14ac:dyDescent="0.35">
      <c r="A40" s="4"/>
      <c r="B40" s="40"/>
      <c r="C40" s="40"/>
      <c r="D40" s="41"/>
      <c r="E40" s="41"/>
      <c r="F40" s="41"/>
      <c r="G40" s="102">
        <f t="shared" ref="G40" si="3">E40*F40</f>
        <v>0</v>
      </c>
      <c r="H40" s="41"/>
    </row>
    <row r="41" spans="1:8" x14ac:dyDescent="0.35">
      <c r="A41" s="4"/>
      <c r="B41"/>
      <c r="C41" s="65"/>
      <c r="D41" s="113" t="s">
        <v>61</v>
      </c>
      <c r="E41" s="114"/>
      <c r="F41" s="115"/>
      <c r="G41" s="101">
        <v>0</v>
      </c>
      <c r="H41" s="19"/>
    </row>
    <row r="42" spans="1:8" x14ac:dyDescent="0.35">
      <c r="A42" s="4"/>
      <c r="B42"/>
      <c r="C42" s="66"/>
      <c r="D42" s="116" t="s">
        <v>14</v>
      </c>
      <c r="E42" s="117"/>
      <c r="F42" s="118"/>
      <c r="G42" s="112">
        <v>0.25</v>
      </c>
      <c r="H42" s="42"/>
    </row>
    <row r="43" spans="1:8" x14ac:dyDescent="0.35">
      <c r="A43" s="4"/>
      <c r="B43" s="24"/>
      <c r="C43" s="66"/>
      <c r="D43" s="113" t="s">
        <v>62</v>
      </c>
      <c r="E43" s="114"/>
      <c r="F43" s="115"/>
      <c r="G43" s="101">
        <v>0</v>
      </c>
      <c r="H43" s="19"/>
    </row>
    <row r="44" spans="1:8" x14ac:dyDescent="0.35">
      <c r="A44" s="8"/>
      <c r="C44" s="64"/>
      <c r="D44" s="5"/>
      <c r="E44" s="5"/>
      <c r="G44" s="107"/>
      <c r="H44" s="25"/>
    </row>
    <row r="45" spans="1:8" x14ac:dyDescent="0.35">
      <c r="A45" s="94" t="s">
        <v>20</v>
      </c>
      <c r="B45" s="90"/>
      <c r="C45" s="91"/>
      <c r="D45" s="92"/>
      <c r="E45" s="92"/>
      <c r="F45" s="92"/>
      <c r="G45" s="108"/>
      <c r="H45" s="92"/>
    </row>
    <row r="46" spans="1:8" x14ac:dyDescent="0.35">
      <c r="A46" s="24"/>
      <c r="B46" s="119" t="s">
        <v>63</v>
      </c>
      <c r="C46" s="120"/>
      <c r="D46" s="120"/>
      <c r="E46" s="120"/>
      <c r="F46" s="121"/>
      <c r="G46" s="101">
        <v>0</v>
      </c>
      <c r="H46" s="19"/>
    </row>
    <row r="47" spans="1:8" s="24" customFormat="1" x14ac:dyDescent="0.35">
      <c r="A47" s="88"/>
      <c r="B47" s="88"/>
      <c r="C47" s="88"/>
      <c r="D47" s="88"/>
      <c r="E47" s="88"/>
      <c r="F47" s="89"/>
      <c r="G47" s="109"/>
      <c r="H47" s="71"/>
    </row>
    <row r="48" spans="1:8" ht="46.5" x14ac:dyDescent="0.35">
      <c r="A48" s="54" t="s">
        <v>64</v>
      </c>
      <c r="B48" s="55" t="s">
        <v>5</v>
      </c>
      <c r="C48" s="55" t="s">
        <v>6</v>
      </c>
      <c r="D48" s="56" t="s">
        <v>16</v>
      </c>
      <c r="E48" s="56" t="s">
        <v>21</v>
      </c>
      <c r="F48" s="56" t="s">
        <v>17</v>
      </c>
      <c r="G48" s="110" t="s">
        <v>18</v>
      </c>
      <c r="H48" s="57" t="s">
        <v>10</v>
      </c>
    </row>
    <row r="49" spans="1:10" x14ac:dyDescent="0.35">
      <c r="A49" s="58" t="s">
        <v>65</v>
      </c>
      <c r="B49" s="52" t="s">
        <v>66</v>
      </c>
      <c r="C49" s="19" t="s">
        <v>67</v>
      </c>
      <c r="D49" s="19" t="s">
        <v>68</v>
      </c>
      <c r="E49" s="19" t="s">
        <v>49</v>
      </c>
      <c r="F49" s="19">
        <v>3000</v>
      </c>
      <c r="G49" s="101">
        <f>F49</f>
        <v>3000</v>
      </c>
      <c r="H49" s="59" t="s">
        <v>13</v>
      </c>
    </row>
    <row r="50" spans="1:10" x14ac:dyDescent="0.35">
      <c r="A50" s="60"/>
      <c r="B50" s="47"/>
      <c r="C50" s="47"/>
      <c r="D50" s="16"/>
      <c r="E50" s="16"/>
      <c r="F50" s="16"/>
      <c r="G50" s="97"/>
      <c r="H50" s="38"/>
    </row>
    <row r="51" spans="1:10" x14ac:dyDescent="0.35">
      <c r="A51" s="127" t="s">
        <v>69</v>
      </c>
      <c r="B51" s="47" t="s">
        <v>70</v>
      </c>
      <c r="C51" s="47" t="s">
        <v>30</v>
      </c>
      <c r="D51" s="16" t="s">
        <v>45</v>
      </c>
      <c r="E51" s="16">
        <v>1</v>
      </c>
      <c r="F51" s="16">
        <f>G17</f>
        <v>680</v>
      </c>
      <c r="G51" s="97">
        <f t="shared" ref="G51:G53" si="4">F51</f>
        <v>680</v>
      </c>
      <c r="H51" s="38" t="s">
        <v>13</v>
      </c>
    </row>
    <row r="52" spans="1:10" x14ac:dyDescent="0.35">
      <c r="A52" s="128"/>
      <c r="B52" s="47" t="s">
        <v>71</v>
      </c>
      <c r="C52" s="47" t="s">
        <v>33</v>
      </c>
      <c r="D52" s="16" t="s">
        <v>43</v>
      </c>
      <c r="E52" s="16">
        <v>1</v>
      </c>
      <c r="F52" s="16">
        <f>G18</f>
        <v>58</v>
      </c>
      <c r="G52" s="97">
        <f t="shared" si="4"/>
        <v>58</v>
      </c>
      <c r="H52" s="38" t="s">
        <v>13</v>
      </c>
    </row>
    <row r="53" spans="1:10" x14ac:dyDescent="0.35">
      <c r="A53" s="129"/>
      <c r="B53" s="90" t="s">
        <v>72</v>
      </c>
      <c r="C53" s="91" t="s">
        <v>33</v>
      </c>
      <c r="D53" s="92" t="s">
        <v>45</v>
      </c>
      <c r="E53" s="92">
        <v>1</v>
      </c>
      <c r="F53" s="92">
        <f>G19</f>
        <v>8</v>
      </c>
      <c r="G53" s="108">
        <f t="shared" si="4"/>
        <v>8</v>
      </c>
      <c r="H53" s="93" t="s">
        <v>13</v>
      </c>
    </row>
    <row r="54" spans="1:10" x14ac:dyDescent="0.35">
      <c r="A54" s="136" t="s">
        <v>73</v>
      </c>
      <c r="B54" s="137"/>
      <c r="C54" s="137"/>
      <c r="D54" s="137"/>
      <c r="E54" s="137"/>
      <c r="F54" s="138"/>
      <c r="G54" s="111">
        <f>G49-G22</f>
        <v>2067.5</v>
      </c>
      <c r="H54" s="63" t="s">
        <v>13</v>
      </c>
    </row>
    <row r="55" spans="1:10" x14ac:dyDescent="0.35">
      <c r="A55" s="10"/>
      <c r="B55" s="25"/>
      <c r="C55" s="25"/>
      <c r="D55" s="25"/>
      <c r="E55" s="25"/>
      <c r="F55" s="25"/>
      <c r="G55" s="72"/>
      <c r="H55" s="72"/>
      <c r="I55" s="24"/>
    </row>
    <row r="56" spans="1:10" ht="46.5" x14ac:dyDescent="0.35">
      <c r="A56" s="54" t="s">
        <v>74</v>
      </c>
      <c r="B56" s="55" t="s">
        <v>5</v>
      </c>
      <c r="C56" s="55" t="s">
        <v>6</v>
      </c>
      <c r="D56" s="56" t="s">
        <v>16</v>
      </c>
      <c r="E56" s="56" t="s">
        <v>21</v>
      </c>
      <c r="F56" s="56" t="s">
        <v>17</v>
      </c>
      <c r="G56" s="56" t="s">
        <v>18</v>
      </c>
      <c r="H56" s="57" t="s">
        <v>10</v>
      </c>
    </row>
    <row r="57" spans="1:10" x14ac:dyDescent="0.35">
      <c r="A57" s="58" t="s">
        <v>75</v>
      </c>
      <c r="B57" s="52" t="s">
        <v>76</v>
      </c>
      <c r="C57" s="19"/>
      <c r="D57" s="19"/>
      <c r="E57" s="19"/>
      <c r="F57" s="19"/>
      <c r="G57" s="19"/>
      <c r="H57" s="59"/>
      <c r="J57" s="24"/>
    </row>
    <row r="58" spans="1:10" x14ac:dyDescent="0.35">
      <c r="A58" s="60"/>
      <c r="B58" s="47"/>
      <c r="C58" s="47"/>
      <c r="D58" s="16"/>
      <c r="E58" s="16"/>
      <c r="F58" s="16"/>
      <c r="G58" s="16"/>
      <c r="H58" s="38"/>
    </row>
    <row r="59" spans="1:10" x14ac:dyDescent="0.35">
      <c r="A59" s="127" t="s">
        <v>77</v>
      </c>
      <c r="B59" s="47"/>
      <c r="C59" s="47"/>
      <c r="D59" s="16"/>
      <c r="E59" s="16"/>
      <c r="F59" s="16"/>
      <c r="G59" s="16"/>
      <c r="H59" s="38"/>
    </row>
    <row r="60" spans="1:10" x14ac:dyDescent="0.35">
      <c r="A60" s="128"/>
      <c r="B60" s="47"/>
      <c r="C60" s="47"/>
      <c r="D60" s="16"/>
      <c r="E60" s="16"/>
      <c r="F60" s="16"/>
      <c r="G60" s="16"/>
      <c r="H60" s="38"/>
    </row>
    <row r="61" spans="1:10" x14ac:dyDescent="0.35">
      <c r="A61" s="129"/>
      <c r="B61" s="40"/>
      <c r="C61" s="40"/>
      <c r="D61" s="41"/>
      <c r="E61" s="41"/>
      <c r="F61" s="41"/>
      <c r="G61" s="41"/>
      <c r="H61" s="61"/>
    </row>
    <row r="62" spans="1:10" x14ac:dyDescent="0.35">
      <c r="A62" s="73" t="s">
        <v>78</v>
      </c>
      <c r="B62" s="130"/>
      <c r="C62" s="131"/>
      <c r="D62" s="131"/>
      <c r="E62" s="131"/>
      <c r="F62" s="131"/>
      <c r="G62" s="62">
        <v>0</v>
      </c>
      <c r="H62" s="63"/>
    </row>
    <row r="63" spans="1:10" x14ac:dyDescent="0.35">
      <c r="A63" s="7"/>
      <c r="B63" s="24"/>
      <c r="C63" s="24"/>
      <c r="D63" s="13"/>
      <c r="E63" s="44"/>
      <c r="F63" s="44"/>
      <c r="G63" s="44"/>
      <c r="H63" s="44"/>
    </row>
    <row r="64" spans="1:10" x14ac:dyDescent="0.35">
      <c r="A64" s="132" t="s">
        <v>79</v>
      </c>
      <c r="B64" s="133"/>
      <c r="C64" s="133"/>
      <c r="D64" s="133"/>
      <c r="E64" s="133"/>
      <c r="F64" s="133"/>
      <c r="G64" s="77"/>
      <c r="H64" s="78"/>
      <c r="I64" s="24"/>
    </row>
    <row r="65" spans="1:8" x14ac:dyDescent="0.35">
      <c r="A65" s="85"/>
      <c r="B65" s="86"/>
      <c r="C65" s="86"/>
      <c r="D65" s="36"/>
      <c r="E65" s="35"/>
      <c r="F65" s="36"/>
      <c r="G65" s="36"/>
      <c r="H65" s="87"/>
    </row>
    <row r="66" spans="1:8" x14ac:dyDescent="0.35">
      <c r="A66" s="79"/>
      <c r="B66" s="40"/>
      <c r="C66" s="40"/>
      <c r="D66" s="41"/>
      <c r="E66" s="41"/>
      <c r="F66" s="41"/>
      <c r="G66" s="41"/>
      <c r="H66" s="61"/>
    </row>
    <row r="67" spans="1:8" x14ac:dyDescent="0.35">
      <c r="A67" s="80"/>
      <c r="B67" s="76"/>
      <c r="C67" s="76"/>
      <c r="D67" s="81"/>
      <c r="E67" s="81"/>
      <c r="F67" s="82"/>
      <c r="G67" s="83"/>
      <c r="H67" s="84"/>
    </row>
    <row r="68" spans="1:8" x14ac:dyDescent="0.35">
      <c r="A68" s="24"/>
      <c r="D68" s="5"/>
      <c r="E68" s="5"/>
      <c r="F68" s="34"/>
      <c r="G68" s="44"/>
      <c r="H68" s="44"/>
    </row>
    <row r="69" spans="1:8" x14ac:dyDescent="0.35">
      <c r="A69" s="134" t="s">
        <v>80</v>
      </c>
      <c r="B69" s="135"/>
      <c r="C69" s="135"/>
      <c r="D69" s="135"/>
      <c r="E69" s="135"/>
      <c r="F69" s="135"/>
      <c r="G69" s="74"/>
      <c r="H69" s="75"/>
    </row>
    <row r="70" spans="1:8" ht="17.399999999999999" customHeight="1" x14ac:dyDescent="0.35">
      <c r="A70" s="124" t="s">
        <v>81</v>
      </c>
      <c r="B70" s="125"/>
      <c r="C70" s="125"/>
      <c r="D70" s="125"/>
      <c r="E70" s="125"/>
      <c r="F70" s="125"/>
      <c r="G70" s="125"/>
      <c r="H70" s="126"/>
    </row>
    <row r="71" spans="1:8" ht="17.399999999999999" customHeight="1" x14ac:dyDescent="0.35">
      <c r="A71" s="95" t="s">
        <v>82</v>
      </c>
    </row>
    <row r="72" spans="1:8" ht="17.399999999999999" customHeight="1" x14ac:dyDescent="0.35">
      <c r="A72" s="95" t="s">
        <v>83</v>
      </c>
    </row>
    <row r="73" spans="1:8" ht="17.399999999999999" customHeight="1" x14ac:dyDescent="0.35">
      <c r="A73" s="95" t="s">
        <v>84</v>
      </c>
    </row>
    <row r="74" spans="1:8" ht="17.399999999999999" customHeight="1" x14ac:dyDescent="0.35">
      <c r="A74" s="95" t="s">
        <v>85</v>
      </c>
    </row>
    <row r="75" spans="1:8" ht="17.399999999999999" customHeight="1" x14ac:dyDescent="0.35">
      <c r="A75" s="95" t="s">
        <v>86</v>
      </c>
    </row>
    <row r="76" spans="1:8" ht="17.399999999999999" customHeight="1" x14ac:dyDescent="0.35">
      <c r="A76" s="95" t="s">
        <v>87</v>
      </c>
    </row>
    <row r="77" spans="1:8" ht="17.399999999999999" customHeight="1" x14ac:dyDescent="0.35">
      <c r="A77" s="95" t="s">
        <v>88</v>
      </c>
    </row>
    <row r="78" spans="1:8" ht="17.399999999999999" customHeight="1" x14ac:dyDescent="0.35">
      <c r="A78" s="95" t="s">
        <v>89</v>
      </c>
    </row>
  </sheetData>
  <mergeCells count="21">
    <mergeCell ref="A1:H1"/>
    <mergeCell ref="A7:H7"/>
    <mergeCell ref="A70:H70"/>
    <mergeCell ref="A51:A53"/>
    <mergeCell ref="A59:A61"/>
    <mergeCell ref="B62:F62"/>
    <mergeCell ref="A64:F64"/>
    <mergeCell ref="A69:F69"/>
    <mergeCell ref="A54:F54"/>
    <mergeCell ref="D41:F41"/>
    <mergeCell ref="D42:F42"/>
    <mergeCell ref="D43:F43"/>
    <mergeCell ref="B46:F46"/>
    <mergeCell ref="D20:F20"/>
    <mergeCell ref="D21:F21"/>
    <mergeCell ref="D22:F22"/>
    <mergeCell ref="D31:F31"/>
    <mergeCell ref="D32:F32"/>
    <mergeCell ref="B36:F36"/>
    <mergeCell ref="B25:F25"/>
    <mergeCell ref="D33:F33"/>
  </mergeCells>
  <conditionalFormatting sqref="G25:G26 G36:G37 G46">
    <cfRule type="cellIs" dxfId="0" priority="1" operator="lessThan">
      <formula>0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F</dc:creator>
  <cp:lastModifiedBy>Gabriel Toneser Facchin (Student)</cp:lastModifiedBy>
  <dcterms:created xsi:type="dcterms:W3CDTF">2026-10-31T00:42:29Z</dcterms:created>
  <dcterms:modified xsi:type="dcterms:W3CDTF">2026-10-31T01:29:27Z</dcterms:modified>
</cp:coreProperties>
</file>